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ond\Downloads\"/>
    </mc:Choice>
  </mc:AlternateContent>
  <xr:revisionPtr revIDLastSave="0" documentId="13_ncr:1_{D17CEEEF-0CC4-4E07-A355-ADB8EACAD33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oject Guide" sheetId="1" r:id="rId1"/>
    <sheet name="Raw Data" sheetId="2" r:id="rId2"/>
    <sheet name="Assumptions" sheetId="3" r:id="rId3"/>
    <sheet name="Forecast &amp; Valuation" sheetId="4" r:id="rId4"/>
    <sheet name="Dashboard" sheetId="5" r:id="rId5"/>
    <sheet name="Formula 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D20" i="4"/>
  <c r="C20" i="4"/>
  <c r="B20" i="4"/>
  <c r="D19" i="4"/>
  <c r="C19" i="4"/>
  <c r="B19" i="4"/>
  <c r="D17" i="4"/>
  <c r="D19" i="5" s="1"/>
  <c r="C17" i="4"/>
  <c r="C19" i="5" s="1"/>
  <c r="B17" i="4"/>
  <c r="B19" i="5" s="1"/>
  <c r="D16" i="4"/>
  <c r="C16" i="4"/>
  <c r="B16" i="4"/>
  <c r="E15" i="4"/>
  <c r="D15" i="4"/>
  <c r="D14" i="4"/>
  <c r="C14" i="4"/>
  <c r="B14" i="4"/>
  <c r="D13" i="4"/>
  <c r="C13" i="4"/>
  <c r="B13" i="4"/>
  <c r="G10" i="4"/>
  <c r="D9" i="4"/>
  <c r="C9" i="4"/>
  <c r="C10" i="4" s="1"/>
  <c r="B9" i="4"/>
  <c r="G8" i="4"/>
  <c r="D7" i="4"/>
  <c r="D11" i="4" s="1"/>
  <c r="C7" i="4"/>
  <c r="C11" i="4" s="1"/>
  <c r="C12" i="4" s="1"/>
  <c r="B7" i="4"/>
  <c r="G6" i="4"/>
  <c r="C6" i="4"/>
  <c r="D5" i="4"/>
  <c r="D6" i="4" s="1"/>
  <c r="C5" i="4"/>
  <c r="C15" i="5" s="1"/>
  <c r="B5" i="4"/>
  <c r="B19" i="3"/>
  <c r="B18" i="3"/>
  <c r="E19" i="4" s="1"/>
  <c r="F19" i="4" s="1"/>
  <c r="G19" i="4" s="1"/>
  <c r="B17" i="3"/>
  <c r="G21" i="4" s="1"/>
  <c r="B9" i="5" s="1"/>
  <c r="B16" i="3"/>
  <c r="G15" i="4" s="1"/>
  <c r="I15" i="3"/>
  <c r="H15" i="3"/>
  <c r="G15" i="3"/>
  <c r="B15" i="3"/>
  <c r="I14" i="3"/>
  <c r="H14" i="3"/>
  <c r="F10" i="4" s="1"/>
  <c r="G14" i="3"/>
  <c r="E10" i="4" s="1"/>
  <c r="B14" i="3"/>
  <c r="F6" i="4" s="1"/>
  <c r="I13" i="3"/>
  <c r="H13" i="3"/>
  <c r="F8" i="4" s="1"/>
  <c r="G13" i="3"/>
  <c r="E8" i="4" s="1"/>
  <c r="B13" i="3"/>
  <c r="E6" i="4" s="1"/>
  <c r="D12" i="4" l="1"/>
  <c r="B15" i="4"/>
  <c r="B18" i="4"/>
  <c r="C8" i="4"/>
  <c r="D10" i="4"/>
  <c r="C15" i="4"/>
  <c r="B11" i="4"/>
  <c r="B12" i="4" s="1"/>
  <c r="C18" i="4"/>
  <c r="D15" i="5"/>
  <c r="E5" i="4"/>
  <c r="D8" i="4"/>
  <c r="F15" i="4"/>
  <c r="D18" i="4"/>
  <c r="E21" i="4"/>
  <c r="F21" i="4"/>
  <c r="B15" i="5"/>
  <c r="B8" i="4"/>
  <c r="B10" i="4"/>
  <c r="E7" i="4" l="1"/>
  <c r="F5" i="4"/>
  <c r="E15" i="5"/>
  <c r="E13" i="4"/>
  <c r="E9" i="4"/>
  <c r="G5" i="4" l="1"/>
  <c r="F15" i="5"/>
  <c r="F13" i="4"/>
  <c r="F9" i="4"/>
  <c r="F7" i="4"/>
  <c r="E11" i="4"/>
  <c r="E14" i="4" l="1"/>
  <c r="E12" i="4"/>
  <c r="F11" i="4"/>
  <c r="G15" i="5"/>
  <c r="G13" i="4"/>
  <c r="G9" i="4"/>
  <c r="G7" i="4"/>
  <c r="B11" i="5"/>
  <c r="B6" i="5"/>
  <c r="G11" i="4" l="1"/>
  <c r="G14" i="4" s="1"/>
  <c r="G12" i="4"/>
  <c r="F14" i="4"/>
  <c r="F12" i="4"/>
  <c r="E16" i="4"/>
  <c r="E17" i="4"/>
  <c r="F16" i="4" l="1"/>
  <c r="F17" i="4" s="1"/>
  <c r="E19" i="5"/>
  <c r="E20" i="4"/>
  <c r="E22" i="4" s="1"/>
  <c r="E18" i="4"/>
  <c r="G16" i="4"/>
  <c r="G17" i="4"/>
  <c r="G20" i="4" l="1"/>
  <c r="G19" i="5"/>
  <c r="B7" i="5"/>
  <c r="G18" i="4"/>
  <c r="F20" i="4"/>
  <c r="F22" i="4" s="1"/>
  <c r="F18" i="4"/>
  <c r="F19" i="5"/>
  <c r="B25" i="5" l="1"/>
  <c r="C25" i="5" s="1"/>
  <c r="B28" i="5"/>
  <c r="C28" i="5" s="1"/>
  <c r="B26" i="5"/>
  <c r="C26" i="5" s="1"/>
  <c r="B24" i="5"/>
  <c r="C24" i="5" s="1"/>
  <c r="B8" i="5"/>
  <c r="G22" i="4"/>
  <c r="B10" i="5" s="1"/>
  <c r="B27" i="5"/>
  <c r="C27" i="5" s="1"/>
</calcChain>
</file>

<file path=xl/sharedStrings.xml><?xml version="1.0" encoding="utf-8"?>
<sst xmlns="http://schemas.openxmlformats.org/spreadsheetml/2006/main" count="269" uniqueCount="170">
  <si>
    <t>Excel portfolio case study | Historical FY2024–FY2026 | Forecast FY2027–FY2029</t>
  </si>
  <si>
    <t>Project Objective</t>
  </si>
  <si>
    <t>Workbook Structure</t>
  </si>
  <si>
    <t>Finance Modeling Color Key</t>
  </si>
  <si>
    <t>Sheet</t>
  </si>
  <si>
    <t>Purpose</t>
  </si>
  <si>
    <t>Color</t>
  </si>
  <si>
    <t>Meaning</t>
  </si>
  <si>
    <t>Raw Data</t>
  </si>
  <si>
    <t>Blue text</t>
  </si>
  <si>
    <t>Hardcoded inputs / assumptions</t>
  </si>
  <si>
    <t>Assumptions</t>
  </si>
  <si>
    <t>Bear/Base/Bull scenario drivers and scenario selector</t>
  </si>
  <si>
    <t>Green text</t>
  </si>
  <si>
    <t>Links to another worksheet</t>
  </si>
  <si>
    <t>Forecast &amp; Valuation</t>
  </si>
  <si>
    <t>Historical analysis, 3-year forecast, EPS, and P/E valuation</t>
  </si>
  <si>
    <t>Black text</t>
  </si>
  <si>
    <t>Formulas calculated on the current sheet</t>
  </si>
  <si>
    <t>Dashboard</t>
  </si>
  <si>
    <t>Key forecast outputs, valuation sensitivity, and charts</t>
  </si>
  <si>
    <t>Formula Guide</t>
  </si>
  <si>
    <t>Reference formulas for rebuilding or explaining the model</t>
  </si>
  <si>
    <t>Metric</t>
  </si>
  <si>
    <t>FY2024A</t>
  </si>
  <si>
    <t>FY2025A</t>
  </si>
  <si>
    <t>FY2026A</t>
  </si>
  <si>
    <t>Units</t>
  </si>
  <si>
    <t>Revenue</t>
  </si>
  <si>
    <t>$mm</t>
  </si>
  <si>
    <t>Cost of Sales</t>
  </si>
  <si>
    <t>Gross Profit</t>
  </si>
  <si>
    <t>Demand Creation Expense</t>
  </si>
  <si>
    <t>Operating Overhead Expense</t>
  </si>
  <si>
    <t>Total SG&amp;A Expense</t>
  </si>
  <si>
    <t>Interest Expense (Income), Net</t>
  </si>
  <si>
    <t>Other (Income) Expense, Net</t>
  </si>
  <si>
    <t>Income Before Income Taxes</t>
  </si>
  <si>
    <t>Income Tax Expense</t>
  </si>
  <si>
    <t>Net Income</t>
  </si>
  <si>
    <t>Diluted EPS</t>
  </si>
  <si>
    <t>$ / share</t>
  </si>
  <si>
    <t>Diluted Weighted Avg. Shares</t>
  </si>
  <si>
    <t>mm shares</t>
  </si>
  <si>
    <t>Change B3 to Bear, Base, or Bull. Blue cells are editable inputs.</t>
  </si>
  <si>
    <t>Selected Scenario</t>
  </si>
  <si>
    <t>Base</t>
  </si>
  <si>
    <t>Scenario Table</t>
  </si>
  <si>
    <t>Scenario</t>
  </si>
  <si>
    <t>FY27 Rev Growth</t>
  </si>
  <si>
    <t>FY28 Rev Growth</t>
  </si>
  <si>
    <t>FY29 Rev Growth</t>
  </si>
  <si>
    <t>FY27 Gross Margin</t>
  </si>
  <si>
    <t>FY28 Gross Margin</t>
  </si>
  <si>
    <t>FY29 Gross Margin</t>
  </si>
  <si>
    <t>FY27 SG&amp;A % Rev</t>
  </si>
  <si>
    <t>FY28 SG&amp;A % Rev</t>
  </si>
  <si>
    <t>FY29 SG&amp;A % Rev</t>
  </si>
  <si>
    <t>Tax Rate</t>
  </si>
  <si>
    <t>P/E Multiple</t>
  </si>
  <si>
    <t>Annual Share Change</t>
  </si>
  <si>
    <t>Net Other Income % Rev</t>
  </si>
  <si>
    <t>Bear</t>
  </si>
  <si>
    <t>Bull</t>
  </si>
  <si>
    <t>Selected Scenario Output</t>
  </si>
  <si>
    <t>Selected Operating Assumptions</t>
  </si>
  <si>
    <t>Assumption</t>
  </si>
  <si>
    <t>Selected Value</t>
  </si>
  <si>
    <t>FY2027E</t>
  </si>
  <si>
    <t>FY2028E</t>
  </si>
  <si>
    <t>FY2029E</t>
  </si>
  <si>
    <t>Notes</t>
  </si>
  <si>
    <t>FY2027 Revenue Growth</t>
  </si>
  <si>
    <t>Gross Margin</t>
  </si>
  <si>
    <t>Gross Profit / Revenue</t>
  </si>
  <si>
    <t>FY2028 Revenue Growth</t>
  </si>
  <si>
    <t>SG&amp;A % Revenue</t>
  </si>
  <si>
    <t>Total SG&amp;A / Revenue</t>
  </si>
  <si>
    <t>FY2029 Revenue Growth</t>
  </si>
  <si>
    <t>Revenue Growth</t>
  </si>
  <si>
    <t>Year-over-year growth</t>
  </si>
  <si>
    <t>Net Other Income % Revenue</t>
  </si>
  <si>
    <t>Historical results linked from Raw Data; forecasts driven by Assumptions</t>
  </si>
  <si>
    <t>Total SG&amp;A</t>
  </si>
  <si>
    <t>Operating Income</t>
  </si>
  <si>
    <t>Operating Margin</t>
  </si>
  <si>
    <t>Net Interest &amp; Other Income</t>
  </si>
  <si>
    <t>Income Before Taxes</t>
  </si>
  <si>
    <t>Net Margin</t>
  </si>
  <si>
    <t>Diluted Shares</t>
  </si>
  <si>
    <t>Implied Share Price</t>
  </si>
  <si>
    <t>Scenario-driven forecast and simple P/E valuation summary</t>
  </si>
  <si>
    <t>FY2029E Revenue</t>
  </si>
  <si>
    <t>FY2029E Net Income</t>
  </si>
  <si>
    <t>FY2029E EPS</t>
  </si>
  <si>
    <t>FY2029E Implied Price</t>
  </si>
  <si>
    <t>Revenue CAGR (FY26–FY29)</t>
  </si>
  <si>
    <t>Series</t>
  </si>
  <si>
    <t>FY2029E P/E Sensitivity</t>
  </si>
  <si>
    <t>Implied Price</t>
  </si>
  <si>
    <t>Reference formulas for rebuilding the model yourself.</t>
  </si>
  <si>
    <t>Historical Analysis</t>
  </si>
  <si>
    <t>Example Excel Formula</t>
  </si>
  <si>
    <t>What It Measures</t>
  </si>
  <si>
    <t>Suggested Source</t>
  </si>
  <si>
    <t>Output Format</t>
  </si>
  <si>
    <t>=Current Year Revenue / Prior Year Revenue - 1</t>
  </si>
  <si>
    <t>Year-over-year change in sales</t>
  </si>
  <si>
    <t>%</t>
  </si>
  <si>
    <t>First historical year has no prior-year growth.</t>
  </si>
  <si>
    <t>=Gross Profit / Revenue</t>
  </si>
  <si>
    <t>Gross profit earned per dollar of revenue</t>
  </si>
  <si>
    <t>=Total SG&amp;A / Revenue</t>
  </si>
  <si>
    <t>Operating expense intensity</t>
  </si>
  <si>
    <t>=Gross Profit - Total SG&amp;A</t>
  </si>
  <si>
    <t>Operating profit before interest/other items and taxes</t>
  </si>
  <si>
    <t>Calculated</t>
  </si>
  <si>
    <t>=Operating Income / Revenue</t>
  </si>
  <si>
    <t>Operating profitability</t>
  </si>
  <si>
    <t>=Income Tax Expense / Income Before Taxes</t>
  </si>
  <si>
    <t>Effective tax rate</t>
  </si>
  <si>
    <t>=Net Income / Revenue</t>
  </si>
  <si>
    <t>Net profitability</t>
  </si>
  <si>
    <t>Forecast &amp; Valuation Formulas</t>
  </si>
  <si>
    <t>Driver</t>
  </si>
  <si>
    <t>Build Tip</t>
  </si>
  <si>
    <t>Forecast Revenue</t>
  </si>
  <si>
    <t>=Prior Year Revenue*(1+Revenue Growth)</t>
  </si>
  <si>
    <t>Projects annual sales</t>
  </si>
  <si>
    <t>Scenario revenue growth</t>
  </si>
  <si>
    <t>Link growth rate from Assumptions.</t>
  </si>
  <si>
    <t>Forecast Gross Profit</t>
  </si>
  <si>
    <t>=Revenue*Gross Margin</t>
  </si>
  <si>
    <t>Projects gross profit</t>
  </si>
  <si>
    <t>Scenario gross margin</t>
  </si>
  <si>
    <t>Use selected scenario margin.</t>
  </si>
  <si>
    <t>Forecast SG&amp;A</t>
  </si>
  <si>
    <t>=Revenue*SG&amp;A % Revenue</t>
  </si>
  <si>
    <t>Projects selling/admin costs</t>
  </si>
  <si>
    <t>Scenario SG&amp;A %</t>
  </si>
  <si>
    <t>=Gross Profit-SG&amp;A</t>
  </si>
  <si>
    <t>Projects operating profit</t>
  </si>
  <si>
    <t>Forecast GP and SG&amp;A</t>
  </si>
  <si>
    <t>=Revenue*Net Other Income % Revenue</t>
  </si>
  <si>
    <t>Simplified non-operating item</t>
  </si>
  <si>
    <t>Scenario assumption</t>
  </si>
  <si>
    <t>=Operating Income+Net Interest &amp; Other Income</t>
  </si>
  <si>
    <t>Projects pretax earnings</t>
  </si>
  <si>
    <t>=Income Before Taxes*Tax Rate</t>
  </si>
  <si>
    <t>Projects taxes</t>
  </si>
  <si>
    <t>Scenario tax rate</t>
  </si>
  <si>
    <t>=Income Before Taxes-Income Tax Expense</t>
  </si>
  <si>
    <t>Projects bottom-line earnings</t>
  </si>
  <si>
    <t>=Prior Year Shares*(1+Annual Share Change)</t>
  </si>
  <si>
    <t>Projects share count</t>
  </si>
  <si>
    <t>Scenario share change</t>
  </si>
  <si>
    <t>=Net Income/Diluted Shares</t>
  </si>
  <si>
    <t>Earnings per diluted share</t>
  </si>
  <si>
    <t>=Diluted EPS*P/E Multiple</t>
  </si>
  <si>
    <t>Simple P/E-based valuation</t>
  </si>
  <si>
    <t>Scenario P/E multiple</t>
  </si>
  <si>
    <t>Modeling convention: blue text represents hardcoded inputs, green text represents links to other worksheets, and black text represents formulas calculated on the current worksheet. The formulas above are examples; your exact cell references depend on where you build the Forecast sheet.</t>
  </si>
  <si>
    <t>Velora Athletics — 3-Year Financial Forecast &amp; Valuation Model</t>
  </si>
  <si>
    <t>Build a simplified three-year operating forecast for Velora Athletics and estimate an implied share price using a P/E multiple. The model is driven by Bear, Base, and Bull assumptions for revenue growth, gross margin, SG&amp;A intensity, tax rate, share count, and valuation multiple.</t>
  </si>
  <si>
    <t>Synthetic FY2024–FY2026 Velora Athletics financial inputs</t>
  </si>
  <si>
    <t>Velora Athletics Historical Financial Data</t>
  </si>
  <si>
    <t>Synthetic Velora Athletics case-study data | Fiscal 2024–2026 | $ in millions except per-share data</t>
  </si>
  <si>
    <t>Velora Athletics Scenario Assumptions</t>
  </si>
  <si>
    <t>Velora Athletics Forecast &amp; Valuation</t>
  </si>
  <si>
    <t>Velora Athletics Financial Model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</si>
</sst>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\$#,##0;[Red]\(\$#,##0\);\-"/>
    <numFmt numFmtId="165" formatCode="\$0.00;[Red]\(\$0.00\);\-"/>
    <numFmt numFmtId="166" formatCode="#,##0.0;[Red]\(#,##0.0\);\-"/>
    <numFmt numFmtId="167" formatCode="0.0%;[Red]\(0.0%\);\-"/>
    <numFmt numFmtId="168" formatCode="0.0\x"/>
  </numFmts>
  <fonts count="12">
    <font>
      <sz val="11"/>
      <name val="Carlito"/>
    </font>
    <font>
      <b/>
      <sz val="16"/>
      <color rgb="FFFFFFFF"/>
      <name val="Carlito"/>
    </font>
    <font>
      <i/>
      <sz val="10"/>
      <color rgb="FF666666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00000"/>
      <name val="Carlito"/>
    </font>
    <font>
      <i/>
      <sz val="11"/>
      <name val="Carlito"/>
    </font>
    <font>
      <b/>
      <sz val="11"/>
      <color rgb="FF0000FF"/>
      <name val="Carlito"/>
    </font>
    <font>
      <b/>
      <sz val="11"/>
      <color rgb="FF008000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9" fillId="5" borderId="0" xfId="0" applyFont="1" applyFill="1" applyAlignment="1">
      <alignment horizontal="center"/>
    </xf>
    <xf numFmtId="167" fontId="5" fillId="0" borderId="0" xfId="0" applyNumberFormat="1" applyFont="1"/>
    <xf numFmtId="168" fontId="5" fillId="0" borderId="0" xfId="0" applyNumberFormat="1" applyFont="1"/>
    <xf numFmtId="167" fontId="7" fillId="0" borderId="0" xfId="0" applyNumberFormat="1" applyFont="1"/>
    <xf numFmtId="168" fontId="7" fillId="0" borderId="0" xfId="0" applyNumberFormat="1" applyFont="1"/>
    <xf numFmtId="167" fontId="0" fillId="0" borderId="0" xfId="0" applyNumberFormat="1"/>
    <xf numFmtId="164" fontId="6" fillId="0" borderId="0" xfId="0" applyNumberFormat="1" applyFont="1"/>
    <xf numFmtId="164" fontId="0" fillId="0" borderId="0" xfId="0" applyNumberFormat="1"/>
    <xf numFmtId="167" fontId="6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165" fontId="6" fillId="0" borderId="0" xfId="0" applyNumberFormat="1" applyFont="1"/>
    <xf numFmtId="165" fontId="0" fillId="0" borderId="0" xfId="0" applyNumberFormat="1"/>
    <xf numFmtId="168" fontId="0" fillId="0" borderId="0" xfId="0" applyNumberFormat="1"/>
    <xf numFmtId="168" fontId="6" fillId="0" borderId="0" xfId="0" applyNumberFormat="1" applyFont="1"/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165" fontId="4" fillId="6" borderId="2" xfId="0" applyNumberFormat="1" applyFont="1" applyFill="1" applyBorder="1"/>
    <xf numFmtId="0" fontId="10" fillId="5" borderId="0" xfId="0" applyFont="1" applyFill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65" fontId="10" fillId="0" borderId="0" xfId="0" applyNumberFormat="1" applyFont="1"/>
    <xf numFmtId="168" fontId="10" fillId="0" borderId="0" xfId="0" applyNumberFormat="1" applyFont="1"/>
    <xf numFmtId="167" fontId="4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88AA8C0-F917-43DF-9AEF-E47C8169DD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Dashboard!$B$14:$G$14</c:f>
              <c:strCache>
                <c:ptCount val="6"/>
                <c:pt idx="0">
                  <c:v>FY2024A</c:v>
                </c:pt>
                <c:pt idx="1">
                  <c:v>FY2025A</c:v>
                </c:pt>
                <c:pt idx="2">
                  <c:v>FY2026A</c:v>
                </c:pt>
                <c:pt idx="3">
                  <c:v>FY2027E</c:v>
                </c:pt>
                <c:pt idx="4">
                  <c:v>FY2028E</c:v>
                </c:pt>
                <c:pt idx="5">
                  <c:v>FY2029E</c:v>
                </c:pt>
              </c:strCache>
            </c:strRef>
          </c:cat>
          <c:val>
            <c:numRef>
              <c:f>Dashboard!$B$15:$G$15</c:f>
              <c:numCache>
                <c:formatCode>\$#,##0;[Red]\(\$#,##0\);\-</c:formatCode>
                <c:ptCount val="6"/>
                <c:pt idx="0">
                  <c:v>49800</c:v>
                </c:pt>
                <c:pt idx="1">
                  <c:v>47250</c:v>
                </c:pt>
                <c:pt idx="2">
                  <c:v>48100</c:v>
                </c:pt>
                <c:pt idx="3">
                  <c:v>49783.499999999993</c:v>
                </c:pt>
                <c:pt idx="4">
                  <c:v>52272.674999999996</c:v>
                </c:pt>
                <c:pt idx="5">
                  <c:v>55409.035499999998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5C-40E6-9DD3-F62B17A0D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Net Income</c:v>
          </c:tx>
          <c:marker>
            <c:symbol val="none"/>
          </c:marker>
          <c:cat>
            <c:strRef>
              <c:f>Dashboard!$B$18:$G$18</c:f>
              <c:strCache>
                <c:ptCount val="6"/>
                <c:pt idx="0">
                  <c:v>FY2024A</c:v>
                </c:pt>
                <c:pt idx="1">
                  <c:v>FY2025A</c:v>
                </c:pt>
                <c:pt idx="2">
                  <c:v>FY2026A</c:v>
                </c:pt>
                <c:pt idx="3">
                  <c:v>FY2027E</c:v>
                </c:pt>
                <c:pt idx="4">
                  <c:v>FY2028E</c:v>
                </c:pt>
                <c:pt idx="5">
                  <c:v>FY2029E</c:v>
                </c:pt>
              </c:strCache>
            </c:strRef>
          </c:cat>
          <c:val>
            <c:numRef>
              <c:f>Dashboard!$B$19:$G$19</c:f>
              <c:numCache>
                <c:formatCode>\$#,##0;[Red]\(\$#,##0\);\-</c:formatCode>
                <c:ptCount val="6"/>
                <c:pt idx="0">
                  <c:v>5197</c:v>
                </c:pt>
                <c:pt idx="1">
                  <c:v>3838</c:v>
                </c:pt>
                <c:pt idx="2">
                  <c:v>4028</c:v>
                </c:pt>
                <c:pt idx="3">
                  <c:v>3680.7430724999977</c:v>
                </c:pt>
                <c:pt idx="4">
                  <c:v>4321.9047689999989</c:v>
                </c:pt>
                <c:pt idx="5">
                  <c:v>4977.6707041424997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C1-42B4-BF2C-C0974E782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Implied Price</c:v>
          </c:tx>
          <c:marker>
            <c:symbol val="none"/>
          </c:marker>
          <c:cat>
            <c:numRef>
              <c:f>Dashboard!$A$24:$A$28</c:f>
              <c:numCache>
                <c:formatCode>0.0\x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32</c:v>
                </c:pt>
              </c:numCache>
            </c:numRef>
          </c:cat>
          <c:val>
            <c:numRef>
              <c:f>Dashboard!$C$24:$C$28</c:f>
              <c:numCache>
                <c:formatCode>\$0.00;[Red]\(\$0.00\);\-</c:formatCode>
                <c:ptCount val="5"/>
                <c:pt idx="0">
                  <c:v>56.656355795073267</c:v>
                </c:pt>
                <c:pt idx="1">
                  <c:v>70.820444743841591</c:v>
                </c:pt>
                <c:pt idx="2">
                  <c:v>84.984533692609901</c:v>
                </c:pt>
                <c:pt idx="3">
                  <c:v>99.148622641378211</c:v>
                </c:pt>
                <c:pt idx="4">
                  <c:v>113.31271159014653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2A-4E4A-BDB5-7ECB16FD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\x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;[Red]\(\$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A5" sqref="A5:H8"/>
    </sheetView>
  </sheetViews>
  <sheetFormatPr defaultRowHeight="14.25"/>
  <cols>
    <col min="1" max="1" width="14" customWidth="1"/>
    <col min="2" max="2" width="42" customWidth="1"/>
    <col min="3" max="4" width="14" customWidth="1"/>
    <col min="5" max="5" width="32" customWidth="1"/>
    <col min="6" max="8" width="14" customWidth="1"/>
  </cols>
  <sheetData>
    <row r="1" spans="1:8" ht="27.95" customHeight="1">
      <c r="A1" s="34" t="s">
        <v>162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0</v>
      </c>
      <c r="B2" s="35"/>
      <c r="C2" s="35"/>
      <c r="D2" s="35"/>
      <c r="E2" s="35"/>
      <c r="F2" s="35"/>
      <c r="G2" s="35"/>
      <c r="H2" s="35"/>
    </row>
    <row r="4" spans="1:8" ht="20.100000000000001" customHeight="1">
      <c r="A4" s="36" t="s">
        <v>1</v>
      </c>
      <c r="B4" s="36"/>
      <c r="C4" s="36"/>
      <c r="D4" s="36"/>
      <c r="E4" s="36"/>
      <c r="F4" s="36"/>
      <c r="G4" s="36"/>
      <c r="H4" s="36"/>
    </row>
    <row r="5" spans="1:8">
      <c r="A5" s="39" t="s">
        <v>163</v>
      </c>
      <c r="B5" s="39"/>
      <c r="C5" s="39"/>
      <c r="D5" s="39"/>
      <c r="E5" s="39"/>
      <c r="F5" s="39"/>
      <c r="G5" s="39"/>
      <c r="H5" s="39"/>
    </row>
    <row r="6" spans="1:8">
      <c r="A6" s="39"/>
      <c r="B6" s="39"/>
      <c r="C6" s="39"/>
      <c r="D6" s="39"/>
      <c r="E6" s="39"/>
      <c r="F6" s="39"/>
      <c r="G6" s="39"/>
      <c r="H6" s="39"/>
    </row>
    <row r="7" spans="1:8">
      <c r="A7" s="39"/>
      <c r="B7" s="39"/>
      <c r="C7" s="39"/>
      <c r="D7" s="39"/>
      <c r="E7" s="39"/>
      <c r="F7" s="39"/>
      <c r="G7" s="39"/>
      <c r="H7" s="39"/>
    </row>
    <row r="8" spans="1:8">
      <c r="A8" s="39"/>
      <c r="B8" s="39"/>
      <c r="C8" s="39"/>
      <c r="D8" s="39"/>
      <c r="E8" s="39"/>
      <c r="F8" s="39"/>
      <c r="G8" s="39"/>
      <c r="H8" s="39"/>
    </row>
    <row r="10" spans="1:8" ht="20.100000000000001" customHeight="1">
      <c r="A10" s="36" t="s">
        <v>2</v>
      </c>
      <c r="B10" s="36"/>
      <c r="C10" s="36"/>
      <c r="D10" s="36" t="s">
        <v>3</v>
      </c>
      <c r="E10" s="36"/>
      <c r="F10" s="36"/>
      <c r="G10" s="36"/>
      <c r="H10" s="36"/>
    </row>
    <row r="11" spans="1:8" ht="15">
      <c r="A11" s="2" t="s">
        <v>4</v>
      </c>
      <c r="B11" s="2" t="s">
        <v>5</v>
      </c>
      <c r="D11" s="2" t="s">
        <v>6</v>
      </c>
      <c r="E11" s="2" t="s">
        <v>7</v>
      </c>
    </row>
    <row r="12" spans="1:8" ht="28.5">
      <c r="A12" t="s">
        <v>8</v>
      </c>
      <c r="B12" s="1" t="s">
        <v>164</v>
      </c>
      <c r="D12" s="3" t="s">
        <v>9</v>
      </c>
      <c r="E12" t="s">
        <v>10</v>
      </c>
    </row>
    <row r="13" spans="1:8" ht="28.5">
      <c r="A13" t="s">
        <v>11</v>
      </c>
      <c r="B13" s="1" t="s">
        <v>12</v>
      </c>
      <c r="D13" s="4" t="s">
        <v>13</v>
      </c>
      <c r="E13" t="s">
        <v>14</v>
      </c>
    </row>
    <row r="14" spans="1:8" ht="28.5">
      <c r="A14" t="s">
        <v>15</v>
      </c>
      <c r="B14" s="1" t="s">
        <v>16</v>
      </c>
      <c r="D14" s="5" t="s">
        <v>17</v>
      </c>
      <c r="E14" t="s">
        <v>18</v>
      </c>
    </row>
    <row r="15" spans="1:8" ht="28.5">
      <c r="A15" t="s">
        <v>19</v>
      </c>
      <c r="B15" s="1" t="s">
        <v>20</v>
      </c>
    </row>
    <row r="16" spans="1:8" ht="28.5">
      <c r="A16" t="s">
        <v>21</v>
      </c>
      <c r="B16" s="1" t="s">
        <v>22</v>
      </c>
    </row>
  </sheetData>
  <mergeCells count="5">
    <mergeCell ref="A1:H1"/>
    <mergeCell ref="A2:H2"/>
    <mergeCell ref="A4:H4"/>
    <mergeCell ref="A5:H8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B24" sqref="B24"/>
    </sheetView>
  </sheetViews>
  <sheetFormatPr defaultRowHeight="14.25"/>
  <cols>
    <col min="1" max="1" width="31" customWidth="1"/>
    <col min="2" max="4" width="15" customWidth="1"/>
    <col min="5" max="5" width="16" customWidth="1"/>
  </cols>
  <sheetData>
    <row r="1" spans="1:5" ht="27.95" customHeight="1">
      <c r="A1" s="34" t="s">
        <v>165</v>
      </c>
      <c r="B1" s="34"/>
      <c r="C1" s="34"/>
      <c r="D1" s="34"/>
      <c r="E1" s="34"/>
    </row>
    <row r="2" spans="1:5" ht="30" customHeight="1">
      <c r="A2" s="35" t="s">
        <v>166</v>
      </c>
      <c r="B2" s="35"/>
      <c r="C2" s="35"/>
      <c r="D2" s="35"/>
      <c r="E2" s="35"/>
    </row>
    <row r="4" spans="1:5" ht="1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</row>
    <row r="5" spans="1:5">
      <c r="A5" t="s">
        <v>28</v>
      </c>
      <c r="B5" s="6">
        <v>49800</v>
      </c>
      <c r="C5" s="6">
        <v>47250</v>
      </c>
      <c r="D5" s="6">
        <v>48100</v>
      </c>
      <c r="E5" t="s">
        <v>29</v>
      </c>
    </row>
    <row r="6" spans="1:5">
      <c r="A6" t="s">
        <v>30</v>
      </c>
      <c r="B6" s="6">
        <v>27650</v>
      </c>
      <c r="C6" s="6">
        <v>26800</v>
      </c>
      <c r="D6" s="6">
        <v>27100</v>
      </c>
      <c r="E6" t="s">
        <v>29</v>
      </c>
    </row>
    <row r="7" spans="1:5">
      <c r="A7" t="s">
        <v>31</v>
      </c>
      <c r="B7" s="6">
        <v>22150</v>
      </c>
      <c r="C7" s="6">
        <v>20450</v>
      </c>
      <c r="D7" s="6">
        <v>21000</v>
      </c>
      <c r="E7" t="s">
        <v>29</v>
      </c>
    </row>
    <row r="8" spans="1:5">
      <c r="A8" t="s">
        <v>32</v>
      </c>
      <c r="B8" s="6">
        <v>4200</v>
      </c>
      <c r="C8" s="6">
        <v>4450</v>
      </c>
      <c r="D8" s="6">
        <v>4525</v>
      </c>
      <c r="E8" t="s">
        <v>29</v>
      </c>
    </row>
    <row r="9" spans="1:5">
      <c r="A9" t="s">
        <v>33</v>
      </c>
      <c r="B9" s="6">
        <v>11900</v>
      </c>
      <c r="C9" s="6">
        <v>11450</v>
      </c>
      <c r="D9" s="6">
        <v>11525</v>
      </c>
      <c r="E9" t="s">
        <v>29</v>
      </c>
    </row>
    <row r="10" spans="1:5">
      <c r="A10" t="s">
        <v>34</v>
      </c>
      <c r="B10" s="6">
        <v>16100</v>
      </c>
      <c r="C10" s="6">
        <v>15900</v>
      </c>
      <c r="D10" s="6">
        <v>16050</v>
      </c>
      <c r="E10" t="s">
        <v>29</v>
      </c>
    </row>
    <row r="11" spans="1:5">
      <c r="A11" t="s">
        <v>35</v>
      </c>
      <c r="B11" s="6">
        <v>-90</v>
      </c>
      <c r="C11" s="6">
        <v>-70</v>
      </c>
      <c r="D11" s="6">
        <v>-40</v>
      </c>
      <c r="E11" t="s">
        <v>29</v>
      </c>
    </row>
    <row r="12" spans="1:5">
      <c r="A12" t="s">
        <v>36</v>
      </c>
      <c r="B12" s="6">
        <v>-160</v>
      </c>
      <c r="C12" s="6">
        <v>-60</v>
      </c>
      <c r="D12" s="6">
        <v>-45</v>
      </c>
      <c r="E12" t="s">
        <v>29</v>
      </c>
    </row>
    <row r="13" spans="1:5">
      <c r="A13" t="s">
        <v>37</v>
      </c>
      <c r="B13" s="6">
        <v>6300</v>
      </c>
      <c r="C13" s="6">
        <v>4680</v>
      </c>
      <c r="D13" s="6">
        <v>5035</v>
      </c>
      <c r="E13" t="s">
        <v>29</v>
      </c>
    </row>
    <row r="14" spans="1:5">
      <c r="A14" t="s">
        <v>38</v>
      </c>
      <c r="B14" s="6">
        <v>1103</v>
      </c>
      <c r="C14" s="6">
        <v>842</v>
      </c>
      <c r="D14" s="6">
        <v>1007</v>
      </c>
      <c r="E14" t="s">
        <v>29</v>
      </c>
    </row>
    <row r="15" spans="1:5">
      <c r="A15" t="s">
        <v>39</v>
      </c>
      <c r="B15" s="6">
        <v>5197</v>
      </c>
      <c r="C15" s="6">
        <v>3838</v>
      </c>
      <c r="D15" s="6">
        <v>4028</v>
      </c>
      <c r="E15" t="s">
        <v>29</v>
      </c>
    </row>
    <row r="16" spans="1:5">
      <c r="A16" t="s">
        <v>40</v>
      </c>
      <c r="B16" s="7">
        <v>3.46</v>
      </c>
      <c r="C16" s="7">
        <v>2.61</v>
      </c>
      <c r="D16" s="7">
        <v>2.8</v>
      </c>
      <c r="E16" t="s">
        <v>41</v>
      </c>
    </row>
    <row r="17" spans="1:5">
      <c r="A17" t="s">
        <v>42</v>
      </c>
      <c r="B17" s="8">
        <v>1500</v>
      </c>
      <c r="C17" s="8">
        <v>1470</v>
      </c>
      <c r="D17" s="8">
        <v>1440</v>
      </c>
      <c r="E17" t="s">
        <v>43</v>
      </c>
    </row>
    <row r="19" spans="1:5" ht="20.100000000000001" customHeight="1">
      <c r="A19" s="36"/>
      <c r="B19" s="36"/>
      <c r="C19" s="36"/>
      <c r="D19" s="36"/>
      <c r="E19" s="36"/>
    </row>
  </sheetData>
  <mergeCells count="3">
    <mergeCell ref="A1:E1"/>
    <mergeCell ref="A2:E2"/>
    <mergeCell ref="A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workbookViewId="0">
      <selection sqref="A1:N1"/>
    </sheetView>
  </sheetViews>
  <sheetFormatPr defaultRowHeight="14.25"/>
  <cols>
    <col min="1" max="1" width="24" customWidth="1"/>
    <col min="2" max="9" width="14" customWidth="1"/>
    <col min="10" max="10" width="22" customWidth="1"/>
    <col min="11" max="14" width="14" customWidth="1"/>
  </cols>
  <sheetData>
    <row r="1" spans="1:14" ht="27.95" customHeight="1">
      <c r="A1" s="34" t="s">
        <v>167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30" customHeight="1">
      <c r="A2" s="35" t="s">
        <v>44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5">
      <c r="A3" t="s">
        <v>45</v>
      </c>
      <c r="B3" s="9" t="s">
        <v>46</v>
      </c>
    </row>
    <row r="5" spans="1:14" ht="20.100000000000001" customHeight="1">
      <c r="A5" s="36" t="s">
        <v>47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ht="30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</row>
    <row r="7" spans="1:14">
      <c r="A7" s="3" t="s">
        <v>62</v>
      </c>
      <c r="B7" s="10">
        <v>-0.02</v>
      </c>
      <c r="C7" s="10">
        <v>0.01</v>
      </c>
      <c r="D7" s="10">
        <v>0.03</v>
      </c>
      <c r="E7" s="10">
        <v>0.42</v>
      </c>
      <c r="F7" s="10">
        <v>0.42299999999999999</v>
      </c>
      <c r="G7" s="10">
        <v>0.42699999999999999</v>
      </c>
      <c r="H7" s="10">
        <v>0.35499999999999998</v>
      </c>
      <c r="I7" s="10">
        <v>0.35199999999999998</v>
      </c>
      <c r="J7" s="10">
        <v>0.34799999999999998</v>
      </c>
      <c r="K7" s="10">
        <v>0.215</v>
      </c>
      <c r="L7" s="11">
        <v>18</v>
      </c>
      <c r="M7" s="10">
        <v>-3.0000000000000001E-3</v>
      </c>
      <c r="N7" s="10">
        <v>1E-3</v>
      </c>
    </row>
    <row r="8" spans="1:14">
      <c r="A8" s="3" t="s">
        <v>46</v>
      </c>
      <c r="B8" s="10">
        <v>3.5000000000000003E-2</v>
      </c>
      <c r="C8" s="10">
        <v>0.05</v>
      </c>
      <c r="D8" s="10">
        <v>0.06</v>
      </c>
      <c r="E8" s="10">
        <v>0.433</v>
      </c>
      <c r="F8" s="10">
        <v>0.44</v>
      </c>
      <c r="G8" s="10">
        <v>0.44500000000000001</v>
      </c>
      <c r="H8" s="10">
        <v>0.34200000000000003</v>
      </c>
      <c r="I8" s="10">
        <v>0.33800000000000002</v>
      </c>
      <c r="J8" s="10">
        <v>0.33400000000000002</v>
      </c>
      <c r="K8" s="10">
        <v>0.20499999999999999</v>
      </c>
      <c r="L8" s="11">
        <v>24</v>
      </c>
      <c r="M8" s="10">
        <v>-8.0000000000000002E-3</v>
      </c>
      <c r="N8" s="10">
        <v>2E-3</v>
      </c>
    </row>
    <row r="9" spans="1:14">
      <c r="A9" s="3" t="s">
        <v>63</v>
      </c>
      <c r="B9" s="10">
        <v>7.0000000000000007E-2</v>
      </c>
      <c r="C9" s="10">
        <v>0.08</v>
      </c>
      <c r="D9" s="10">
        <v>7.0000000000000007E-2</v>
      </c>
      <c r="E9" s="10">
        <v>0.44500000000000001</v>
      </c>
      <c r="F9" s="10">
        <v>0.45500000000000002</v>
      </c>
      <c r="G9" s="10">
        <v>0.46</v>
      </c>
      <c r="H9" s="10">
        <v>0.33</v>
      </c>
      <c r="I9" s="10">
        <v>0.32500000000000001</v>
      </c>
      <c r="J9" s="10">
        <v>0.32</v>
      </c>
      <c r="K9" s="10">
        <v>0.19500000000000001</v>
      </c>
      <c r="L9" s="11">
        <v>30</v>
      </c>
      <c r="M9" s="10">
        <v>-1.2E-2</v>
      </c>
      <c r="N9" s="10">
        <v>3.0000000000000001E-3</v>
      </c>
    </row>
    <row r="11" spans="1:14" ht="20.100000000000001" customHeight="1">
      <c r="A11" s="36" t="s">
        <v>64</v>
      </c>
      <c r="B11" s="36"/>
      <c r="C11" s="36"/>
      <c r="D11" s="36"/>
      <c r="F11" s="36" t="s">
        <v>65</v>
      </c>
      <c r="G11" s="36"/>
      <c r="H11" s="36"/>
      <c r="I11" s="36"/>
      <c r="J11" s="36"/>
    </row>
    <row r="12" spans="1:14" ht="30">
      <c r="A12" s="2" t="s">
        <v>66</v>
      </c>
      <c r="B12" s="2" t="s">
        <v>67</v>
      </c>
      <c r="F12" s="2" t="s">
        <v>23</v>
      </c>
      <c r="G12" s="2" t="s">
        <v>68</v>
      </c>
      <c r="H12" s="2" t="s">
        <v>69</v>
      </c>
      <c r="I12" s="2" t="s">
        <v>70</v>
      </c>
      <c r="J12" s="2" t="s">
        <v>71</v>
      </c>
    </row>
    <row r="13" spans="1:14">
      <c r="A13" t="s">
        <v>72</v>
      </c>
      <c r="B13" s="12">
        <f>IF($B$3="Bear",B7,IF($B$3="Base",B8,B9))</f>
        <v>3.5000000000000003E-2</v>
      </c>
      <c r="F13" t="s">
        <v>73</v>
      </c>
      <c r="G13" s="12">
        <f>IF($B$3="Bear",E7,IF($B$3="Base",E8,E9))</f>
        <v>0.433</v>
      </c>
      <c r="H13" s="12">
        <f>IF($B$3="Bear",F7,IF($B$3="Base",F8,F9))</f>
        <v>0.44</v>
      </c>
      <c r="I13" s="12">
        <f>IF($B$3="Bear",G7,IF($B$3="Base",G8,G9))</f>
        <v>0.44500000000000001</v>
      </c>
      <c r="J13" t="s">
        <v>74</v>
      </c>
    </row>
    <row r="14" spans="1:14">
      <c r="A14" t="s">
        <v>75</v>
      </c>
      <c r="B14" s="12">
        <f>IF($B$3="Bear",C7,IF($B$3="Base",C8,C9))</f>
        <v>0.05</v>
      </c>
      <c r="F14" t="s">
        <v>76</v>
      </c>
      <c r="G14" s="12">
        <f>IF($B$3="Bear",H7,IF($B$3="Base",H8,H9))</f>
        <v>0.34200000000000003</v>
      </c>
      <c r="H14" s="12">
        <f>IF($B$3="Bear",I7,IF($B$3="Base",I8,I9))</f>
        <v>0.33800000000000002</v>
      </c>
      <c r="I14" s="12">
        <f>IF($B$3="Bear",J7,IF($B$3="Base",J8,J9))</f>
        <v>0.33400000000000002</v>
      </c>
      <c r="J14" t="s">
        <v>77</v>
      </c>
    </row>
    <row r="15" spans="1:14">
      <c r="A15" t="s">
        <v>78</v>
      </c>
      <c r="B15" s="12">
        <f>IF($B$3="Bear",D7,IF($B$3="Base",D8,D9))</f>
        <v>0.06</v>
      </c>
      <c r="F15" t="s">
        <v>79</v>
      </c>
      <c r="G15" s="12">
        <f>IF($B$3="Bear",B7,IF($B$3="Base",B8,B9))</f>
        <v>3.5000000000000003E-2</v>
      </c>
      <c r="H15" s="12">
        <f>IF($B$3="Bear",C7,IF($B$3="Base",C8,C9))</f>
        <v>0.05</v>
      </c>
      <c r="I15" s="12">
        <f>IF($B$3="Bear",D7,IF($B$3="Base",D8,D9))</f>
        <v>0.06</v>
      </c>
      <c r="J15" t="s">
        <v>80</v>
      </c>
    </row>
    <row r="16" spans="1:14">
      <c r="A16" t="s">
        <v>58</v>
      </c>
      <c r="B16" s="12">
        <f>IF($B$3="Bear",K7,IF($B$3="Base",K8,K9))</f>
        <v>0.20499999999999999</v>
      </c>
    </row>
    <row r="17" spans="1:2">
      <c r="A17" t="s">
        <v>59</v>
      </c>
      <c r="B17" s="13">
        <f>IF($B$3="Bear",L7,IF($B$3="Base",L8,L9))</f>
        <v>24</v>
      </c>
    </row>
    <row r="18" spans="1:2">
      <c r="A18" t="s">
        <v>60</v>
      </c>
      <c r="B18" s="12">
        <f>IF($B$3="Bear",M7,IF($B$3="Base",M8,M9))</f>
        <v>-8.0000000000000002E-3</v>
      </c>
    </row>
    <row r="19" spans="1:2">
      <c r="A19" t="s">
        <v>81</v>
      </c>
      <c r="B19" s="12">
        <f>IF($B$3="Bear",N7,IF($B$3="Base",N8,N9))</f>
        <v>2E-3</v>
      </c>
    </row>
  </sheetData>
  <mergeCells count="5">
    <mergeCell ref="A1:N1"/>
    <mergeCell ref="A2:N2"/>
    <mergeCell ref="A5:N5"/>
    <mergeCell ref="A11:D11"/>
    <mergeCell ref="F11:J11"/>
  </mergeCells>
  <dataValidations count="1">
    <dataValidation type="list" sqref="B3" xr:uid="{00000000-0002-0000-0200-000000000000}">
      <formula1>"Bear,Base,Bull"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sqref="A1:G1"/>
    </sheetView>
  </sheetViews>
  <sheetFormatPr defaultRowHeight="14.25"/>
  <cols>
    <col min="1" max="1" width="29" customWidth="1"/>
    <col min="2" max="7" width="14" customWidth="1"/>
  </cols>
  <sheetData>
    <row r="1" spans="1:7" ht="27.95" customHeight="1">
      <c r="A1" s="34" t="s">
        <v>168</v>
      </c>
      <c r="B1" s="34"/>
      <c r="C1" s="34"/>
      <c r="D1" s="34"/>
      <c r="E1" s="34"/>
      <c r="F1" s="34"/>
      <c r="G1" s="34"/>
    </row>
    <row r="2" spans="1:7" ht="30" customHeight="1">
      <c r="A2" s="35" t="s">
        <v>82</v>
      </c>
      <c r="B2" s="35"/>
      <c r="C2" s="35"/>
      <c r="D2" s="35"/>
      <c r="E2" s="35"/>
      <c r="F2" s="35"/>
      <c r="G2" s="35"/>
    </row>
    <row r="4" spans="1:7" ht="15">
      <c r="A4" s="2" t="s">
        <v>23</v>
      </c>
      <c r="B4" s="2" t="s">
        <v>24</v>
      </c>
      <c r="C4" s="2" t="s">
        <v>25</v>
      </c>
      <c r="D4" s="2" t="s">
        <v>26</v>
      </c>
      <c r="E4" s="2" t="s">
        <v>68</v>
      </c>
      <c r="F4" s="2" t="s">
        <v>69</v>
      </c>
      <c r="G4" s="2" t="s">
        <v>70</v>
      </c>
    </row>
    <row r="5" spans="1:7">
      <c r="A5" t="s">
        <v>28</v>
      </c>
      <c r="B5" s="15">
        <f>'Raw Data'!B5</f>
        <v>49800</v>
      </c>
      <c r="C5" s="15">
        <f>'Raw Data'!C5</f>
        <v>47250</v>
      </c>
      <c r="D5" s="15">
        <f>'Raw Data'!D5</f>
        <v>48100</v>
      </c>
      <c r="E5" s="16">
        <f>D5*(1+E6)</f>
        <v>49783.499999999993</v>
      </c>
      <c r="F5" s="16">
        <f>E5*(1+F6)</f>
        <v>52272.674999999996</v>
      </c>
      <c r="G5" s="16">
        <f>F5*(1+G6)</f>
        <v>55409.035499999998</v>
      </c>
    </row>
    <row r="6" spans="1:7">
      <c r="A6" t="s">
        <v>79</v>
      </c>
      <c r="B6" s="14"/>
      <c r="C6" s="14">
        <f>C5/B5-1</f>
        <v>-5.1204819277108404E-2</v>
      </c>
      <c r="D6" s="14">
        <f>D5/C5-1</f>
        <v>1.7989417989418E-2</v>
      </c>
      <c r="E6" s="17">
        <f>Assumptions!B13</f>
        <v>3.5000000000000003E-2</v>
      </c>
      <c r="F6" s="17">
        <f>Assumptions!B14</f>
        <v>0.05</v>
      </c>
      <c r="G6" s="17">
        <f>Assumptions!B15</f>
        <v>0.06</v>
      </c>
    </row>
    <row r="7" spans="1:7">
      <c r="A7" t="s">
        <v>31</v>
      </c>
      <c r="B7" s="15">
        <f>'Raw Data'!B7</f>
        <v>22150</v>
      </c>
      <c r="C7" s="15">
        <f>'Raw Data'!C7</f>
        <v>20450</v>
      </c>
      <c r="D7" s="15">
        <f>'Raw Data'!D7</f>
        <v>21000</v>
      </c>
      <c r="E7" s="16">
        <f>E5*E8</f>
        <v>21556.255499999996</v>
      </c>
      <c r="F7" s="16">
        <f>F5*F8</f>
        <v>22999.976999999999</v>
      </c>
      <c r="G7" s="16">
        <f>G5*G8</f>
        <v>24657.020797500001</v>
      </c>
    </row>
    <row r="8" spans="1:7">
      <c r="A8" t="s">
        <v>73</v>
      </c>
      <c r="B8" s="14">
        <f>B7/B5</f>
        <v>0.44477911646586343</v>
      </c>
      <c r="C8" s="14">
        <f>C7/C5</f>
        <v>0.4328042328042328</v>
      </c>
      <c r="D8" s="14">
        <f>D7/D5</f>
        <v>0.43659043659043661</v>
      </c>
      <c r="E8" s="17">
        <f>Assumptions!G13</f>
        <v>0.433</v>
      </c>
      <c r="F8" s="17">
        <f>Assumptions!H13</f>
        <v>0.44</v>
      </c>
      <c r="G8" s="17">
        <f>Assumptions!I13</f>
        <v>0.44500000000000001</v>
      </c>
    </row>
    <row r="9" spans="1:7">
      <c r="A9" t="s">
        <v>83</v>
      </c>
      <c r="B9" s="15">
        <f>'Raw Data'!B10</f>
        <v>16100</v>
      </c>
      <c r="C9" s="15">
        <f>'Raw Data'!C10</f>
        <v>15900</v>
      </c>
      <c r="D9" s="15">
        <f>'Raw Data'!D10</f>
        <v>16050</v>
      </c>
      <c r="E9" s="16">
        <f>E5*E10</f>
        <v>17025.956999999999</v>
      </c>
      <c r="F9" s="16">
        <f>F5*F10</f>
        <v>17668.164150000001</v>
      </c>
      <c r="G9" s="16">
        <f>G5*G10</f>
        <v>18506.617857000001</v>
      </c>
    </row>
    <row r="10" spans="1:7">
      <c r="A10" t="s">
        <v>76</v>
      </c>
      <c r="B10" s="14">
        <f>B9/B5</f>
        <v>0.32329317269076308</v>
      </c>
      <c r="C10" s="14">
        <f>C9/C5</f>
        <v>0.33650793650793653</v>
      </c>
      <c r="D10" s="14">
        <f>D9/D5</f>
        <v>0.33367983367983367</v>
      </c>
      <c r="E10" s="17">
        <f>Assumptions!G14</f>
        <v>0.34200000000000003</v>
      </c>
      <c r="F10" s="17">
        <f>Assumptions!H14</f>
        <v>0.33800000000000002</v>
      </c>
      <c r="G10" s="17">
        <f>Assumptions!I14</f>
        <v>0.33400000000000002</v>
      </c>
    </row>
    <row r="11" spans="1:7" ht="15">
      <c r="A11" s="24" t="s">
        <v>84</v>
      </c>
      <c r="B11" s="25">
        <f t="shared" ref="B11:G11" si="0">B7-B9</f>
        <v>6050</v>
      </c>
      <c r="C11" s="25">
        <f t="shared" si="0"/>
        <v>4550</v>
      </c>
      <c r="D11" s="25">
        <f t="shared" si="0"/>
        <v>4950</v>
      </c>
      <c r="E11" s="25">
        <f t="shared" si="0"/>
        <v>4530.2984999999971</v>
      </c>
      <c r="F11" s="25">
        <f t="shared" si="0"/>
        <v>5331.8128499999984</v>
      </c>
      <c r="G11" s="25">
        <f t="shared" si="0"/>
        <v>6150.4029405000001</v>
      </c>
    </row>
    <row r="12" spans="1:7">
      <c r="A12" t="s">
        <v>85</v>
      </c>
      <c r="B12" s="14">
        <f t="shared" ref="B12:G12" si="1">B11/B5</f>
        <v>0.1214859437751004</v>
      </c>
      <c r="C12" s="14">
        <f t="shared" si="1"/>
        <v>9.6296296296296297E-2</v>
      </c>
      <c r="D12" s="14">
        <f t="shared" si="1"/>
        <v>0.10291060291060292</v>
      </c>
      <c r="E12" s="14">
        <f t="shared" si="1"/>
        <v>9.0999999999999956E-2</v>
      </c>
      <c r="F12" s="14">
        <f t="shared" si="1"/>
        <v>0.10199999999999998</v>
      </c>
      <c r="G12" s="14">
        <f t="shared" si="1"/>
        <v>0.111</v>
      </c>
    </row>
    <row r="13" spans="1:7">
      <c r="A13" t="s">
        <v>86</v>
      </c>
      <c r="B13" s="15">
        <f>-('Raw Data'!B11+'Raw Data'!B12)</f>
        <v>250</v>
      </c>
      <c r="C13" s="15">
        <f>-('Raw Data'!C11+'Raw Data'!C12)</f>
        <v>130</v>
      </c>
      <c r="D13" s="15">
        <f>-('Raw Data'!D11+'Raw Data'!D12)</f>
        <v>85</v>
      </c>
      <c r="E13" s="16">
        <f>E5*Assumptions!B19</f>
        <v>99.566999999999993</v>
      </c>
      <c r="F13" s="16">
        <f>F5*Assumptions!B19</f>
        <v>104.54535</v>
      </c>
      <c r="G13" s="16">
        <f>G5*Assumptions!B19</f>
        <v>110.818071</v>
      </c>
    </row>
    <row r="14" spans="1:7" ht="15">
      <c r="A14" s="24" t="s">
        <v>87</v>
      </c>
      <c r="B14" s="25">
        <f>'Raw Data'!B13</f>
        <v>6300</v>
      </c>
      <c r="C14" s="25">
        <f>'Raw Data'!C13</f>
        <v>4680</v>
      </c>
      <c r="D14" s="25">
        <f>'Raw Data'!D13</f>
        <v>5035</v>
      </c>
      <c r="E14" s="25">
        <f>E11+E13</f>
        <v>4629.8654999999972</v>
      </c>
      <c r="F14" s="25">
        <f>F11+F13</f>
        <v>5436.3581999999988</v>
      </c>
      <c r="G14" s="25">
        <f>G11+G13</f>
        <v>6261.2210114999998</v>
      </c>
    </row>
    <row r="15" spans="1:7">
      <c r="A15" t="s">
        <v>58</v>
      </c>
      <c r="B15" s="17">
        <f>B16/B14</f>
        <v>0.17507936507936508</v>
      </c>
      <c r="C15" s="17">
        <f>C16/C14</f>
        <v>0.17991452991452991</v>
      </c>
      <c r="D15" s="17">
        <f>D16/D14</f>
        <v>0.2</v>
      </c>
      <c r="E15" s="17">
        <f>Assumptions!B16</f>
        <v>0.20499999999999999</v>
      </c>
      <c r="F15" s="17">
        <f>Assumptions!B16</f>
        <v>0.20499999999999999</v>
      </c>
      <c r="G15" s="17">
        <f>Assumptions!B16</f>
        <v>0.20499999999999999</v>
      </c>
    </row>
    <row r="16" spans="1:7">
      <c r="A16" t="s">
        <v>38</v>
      </c>
      <c r="B16" s="15">
        <f>'Raw Data'!B14</f>
        <v>1103</v>
      </c>
      <c r="C16" s="15">
        <f>'Raw Data'!C14</f>
        <v>842</v>
      </c>
      <c r="D16" s="15">
        <f>'Raw Data'!D14</f>
        <v>1007</v>
      </c>
      <c r="E16" s="16">
        <f>E14*E15</f>
        <v>949.12242749999939</v>
      </c>
      <c r="F16" s="16">
        <f>F14*F15</f>
        <v>1114.4534309999997</v>
      </c>
      <c r="G16" s="16">
        <f>G14*G15</f>
        <v>1283.5503073574998</v>
      </c>
    </row>
    <row r="17" spans="1:7" ht="15">
      <c r="A17" s="24" t="s">
        <v>39</v>
      </c>
      <c r="B17" s="25">
        <f>'Raw Data'!B15</f>
        <v>5197</v>
      </c>
      <c r="C17" s="25">
        <f>'Raw Data'!C15</f>
        <v>3838</v>
      </c>
      <c r="D17" s="25">
        <f>'Raw Data'!D15</f>
        <v>4028</v>
      </c>
      <c r="E17" s="25">
        <f>E14-E16</f>
        <v>3680.7430724999977</v>
      </c>
      <c r="F17" s="25">
        <f>F14-F16</f>
        <v>4321.9047689999989</v>
      </c>
      <c r="G17" s="25">
        <f>G14-G16</f>
        <v>4977.6707041424997</v>
      </c>
    </row>
    <row r="18" spans="1:7">
      <c r="A18" t="s">
        <v>88</v>
      </c>
      <c r="B18" s="14">
        <f t="shared" ref="B18:G18" si="2">B17/B5</f>
        <v>0.1043574297188755</v>
      </c>
      <c r="C18" s="14">
        <f t="shared" si="2"/>
        <v>8.1227513227513232E-2</v>
      </c>
      <c r="D18" s="14">
        <f t="shared" si="2"/>
        <v>8.3742203742203744E-2</v>
      </c>
      <c r="E18" s="14">
        <f t="shared" si="2"/>
        <v>7.3934999999999959E-2</v>
      </c>
      <c r="F18" s="14">
        <f t="shared" si="2"/>
        <v>8.267999999999999E-2</v>
      </c>
      <c r="G18" s="14">
        <f t="shared" si="2"/>
        <v>8.9834999999999998E-2</v>
      </c>
    </row>
    <row r="19" spans="1:7">
      <c r="A19" t="s">
        <v>89</v>
      </c>
      <c r="B19" s="18">
        <f>'Raw Data'!B17</f>
        <v>1500</v>
      </c>
      <c r="C19" s="18">
        <f>'Raw Data'!C17</f>
        <v>1470</v>
      </c>
      <c r="D19" s="18">
        <f>'Raw Data'!D17</f>
        <v>1440</v>
      </c>
      <c r="E19" s="19">
        <f>D19*(1+Assumptions!B18)</f>
        <v>1428.48</v>
      </c>
      <c r="F19" s="19">
        <f>E19*(1+Assumptions!B18)</f>
        <v>1417.05216</v>
      </c>
      <c r="G19" s="19">
        <f>F19*(1+Assumptions!B18)</f>
        <v>1405.71574272</v>
      </c>
    </row>
    <row r="20" spans="1:7">
      <c r="A20" t="s">
        <v>40</v>
      </c>
      <c r="B20" s="20">
        <f>'Raw Data'!B16</f>
        <v>3.46</v>
      </c>
      <c r="C20" s="20">
        <f>'Raw Data'!C16</f>
        <v>2.61</v>
      </c>
      <c r="D20" s="20">
        <f>'Raw Data'!D16</f>
        <v>2.8</v>
      </c>
      <c r="E20" s="21">
        <f>E17/E19</f>
        <v>2.5766850585937484</v>
      </c>
      <c r="F20" s="21">
        <f>F17/F19</f>
        <v>3.0499263830909364</v>
      </c>
      <c r="G20" s="21">
        <f>G17/G19</f>
        <v>3.5410222371920792</v>
      </c>
    </row>
    <row r="21" spans="1:7">
      <c r="A21" t="s">
        <v>59</v>
      </c>
      <c r="B21" s="22"/>
      <c r="C21" s="22"/>
      <c r="D21" s="22"/>
      <c r="E21" s="23">
        <f>Assumptions!B17</f>
        <v>24</v>
      </c>
      <c r="F21" s="23">
        <f>Assumptions!B17</f>
        <v>24</v>
      </c>
      <c r="G21" s="23">
        <f>Assumptions!B17</f>
        <v>24</v>
      </c>
    </row>
    <row r="22" spans="1:7" ht="15">
      <c r="A22" s="24" t="s">
        <v>90</v>
      </c>
      <c r="B22" s="26"/>
      <c r="C22" s="26"/>
      <c r="D22" s="26"/>
      <c r="E22" s="27">
        <f>E20*E21</f>
        <v>61.840441406249965</v>
      </c>
      <c r="F22" s="27">
        <f>F20*F21</f>
        <v>73.198233194182478</v>
      </c>
      <c r="G22" s="27">
        <f>G20*G21</f>
        <v>84.984533692609901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>
      <selection sqref="A1:K1"/>
    </sheetView>
  </sheetViews>
  <sheetFormatPr defaultRowHeight="14.25"/>
  <cols>
    <col min="1" max="1" width="24" customWidth="1"/>
    <col min="2" max="3" width="15" customWidth="1"/>
    <col min="4" max="11" width="12" customWidth="1"/>
  </cols>
  <sheetData>
    <row r="1" spans="1:11" ht="27.95" customHeight="1">
      <c r="A1" s="34" t="s">
        <v>169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35" t="s">
        <v>91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15">
      <c r="A4" t="s">
        <v>45</v>
      </c>
      <c r="B4" s="28" t="str">
        <f>Assumptions!B3</f>
        <v>Base</v>
      </c>
    </row>
    <row r="6" spans="1:11" ht="15">
      <c r="A6" s="29" t="s">
        <v>92</v>
      </c>
      <c r="B6" s="30">
        <f>'Forecast &amp; Valuation'!G5</f>
        <v>55409.035499999998</v>
      </c>
    </row>
    <row r="7" spans="1:11" ht="15">
      <c r="A7" s="29" t="s">
        <v>93</v>
      </c>
      <c r="B7" s="30">
        <f>'Forecast &amp; Valuation'!G17</f>
        <v>4977.6707041424997</v>
      </c>
    </row>
    <row r="8" spans="1:11" ht="15">
      <c r="A8" s="29" t="s">
        <v>94</v>
      </c>
      <c r="B8" s="31">
        <f>'Forecast &amp; Valuation'!G20</f>
        <v>3.5410222371920792</v>
      </c>
    </row>
    <row r="9" spans="1:11" ht="15">
      <c r="A9" s="29" t="s">
        <v>59</v>
      </c>
      <c r="B9" s="32">
        <f>'Forecast &amp; Valuation'!G21</f>
        <v>24</v>
      </c>
    </row>
    <row r="10" spans="1:11" ht="15">
      <c r="A10" s="29" t="s">
        <v>95</v>
      </c>
      <c r="B10" s="31">
        <f>'Forecast &amp; Valuation'!G22</f>
        <v>84.984533692609901</v>
      </c>
    </row>
    <row r="11" spans="1:11" ht="15">
      <c r="A11" s="29" t="s">
        <v>96</v>
      </c>
      <c r="B11" s="33">
        <f>('Forecast &amp; Valuation'!G5/'Forecast &amp; Valuation'!D5)^(1/3)-1</f>
        <v>4.8282907811062925E-2</v>
      </c>
    </row>
    <row r="14" spans="1:11" ht="15">
      <c r="A14" s="2" t="s">
        <v>97</v>
      </c>
      <c r="B14" s="2" t="s">
        <v>24</v>
      </c>
      <c r="C14" s="2" t="s">
        <v>25</v>
      </c>
      <c r="D14" s="2" t="s">
        <v>26</v>
      </c>
      <c r="E14" s="2" t="s">
        <v>68</v>
      </c>
      <c r="F14" s="2" t="s">
        <v>69</v>
      </c>
      <c r="G14" s="2" t="s">
        <v>70</v>
      </c>
    </row>
    <row r="15" spans="1:11">
      <c r="A15" t="s">
        <v>28</v>
      </c>
      <c r="B15" s="15">
        <f>'Forecast &amp; Valuation'!B5</f>
        <v>49800</v>
      </c>
      <c r="C15" s="15">
        <f>'Forecast &amp; Valuation'!C5</f>
        <v>47250</v>
      </c>
      <c r="D15" s="15">
        <f>'Forecast &amp; Valuation'!D5</f>
        <v>48100</v>
      </c>
      <c r="E15" s="15">
        <f>'Forecast &amp; Valuation'!E5</f>
        <v>49783.499999999993</v>
      </c>
      <c r="F15" s="15">
        <f>'Forecast &amp; Valuation'!F5</f>
        <v>52272.674999999996</v>
      </c>
      <c r="G15" s="15">
        <f>'Forecast &amp; Valuation'!G5</f>
        <v>55409.035499999998</v>
      </c>
    </row>
    <row r="18" spans="1:7" ht="15">
      <c r="A18" s="2" t="s">
        <v>97</v>
      </c>
      <c r="B18" s="2" t="s">
        <v>24</v>
      </c>
      <c r="C18" s="2" t="s">
        <v>25</v>
      </c>
      <c r="D18" s="2" t="s">
        <v>26</v>
      </c>
      <c r="E18" s="2" t="s">
        <v>68</v>
      </c>
      <c r="F18" s="2" t="s">
        <v>69</v>
      </c>
      <c r="G18" s="2" t="s">
        <v>70</v>
      </c>
    </row>
    <row r="19" spans="1:7">
      <c r="A19" t="s">
        <v>39</v>
      </c>
      <c r="B19" s="15">
        <f>'Forecast &amp; Valuation'!B17</f>
        <v>5197</v>
      </c>
      <c r="C19" s="15">
        <f>'Forecast &amp; Valuation'!C17</f>
        <v>3838</v>
      </c>
      <c r="D19" s="15">
        <f>'Forecast &amp; Valuation'!D17</f>
        <v>4028</v>
      </c>
      <c r="E19" s="15">
        <f>'Forecast &amp; Valuation'!E17</f>
        <v>3680.7430724999977</v>
      </c>
      <c r="F19" s="15">
        <f>'Forecast &amp; Valuation'!F17</f>
        <v>4321.9047689999989</v>
      </c>
      <c r="G19" s="15">
        <f>'Forecast &amp; Valuation'!G17</f>
        <v>4977.6707041424997</v>
      </c>
    </row>
    <row r="22" spans="1:7" ht="20.100000000000001" customHeight="1">
      <c r="A22" s="36" t="s">
        <v>98</v>
      </c>
      <c r="B22" s="36"/>
      <c r="C22" s="36"/>
    </row>
    <row r="23" spans="1:7" ht="15">
      <c r="A23" s="2" t="s">
        <v>59</v>
      </c>
      <c r="B23" s="2" t="s">
        <v>94</v>
      </c>
      <c r="C23" s="2" t="s">
        <v>99</v>
      </c>
    </row>
    <row r="24" spans="1:7">
      <c r="A24" s="11">
        <v>16</v>
      </c>
      <c r="B24" s="20">
        <f>'Forecast &amp; Valuation'!G20</f>
        <v>3.5410222371920792</v>
      </c>
      <c r="C24" s="21">
        <f>A24*B24</f>
        <v>56.656355795073267</v>
      </c>
    </row>
    <row r="25" spans="1:7">
      <c r="A25" s="11">
        <v>20</v>
      </c>
      <c r="B25" s="20">
        <f>'Forecast &amp; Valuation'!G20</f>
        <v>3.5410222371920792</v>
      </c>
      <c r="C25" s="21">
        <f>A25*B25</f>
        <v>70.820444743841591</v>
      </c>
    </row>
    <row r="26" spans="1:7">
      <c r="A26" s="11">
        <v>24</v>
      </c>
      <c r="B26" s="20">
        <f>'Forecast &amp; Valuation'!G20</f>
        <v>3.5410222371920792</v>
      </c>
      <c r="C26" s="21">
        <f>A26*B26</f>
        <v>84.984533692609901</v>
      </c>
    </row>
    <row r="27" spans="1:7">
      <c r="A27" s="11">
        <v>28</v>
      </c>
      <c r="B27" s="20">
        <f>'Forecast &amp; Valuation'!G20</f>
        <v>3.5410222371920792</v>
      </c>
      <c r="C27" s="21">
        <f>A27*B27</f>
        <v>99.148622641378211</v>
      </c>
    </row>
    <row r="28" spans="1:7">
      <c r="A28" s="11">
        <v>32</v>
      </c>
      <c r="B28" s="20">
        <f>'Forecast &amp; Valuation'!G20</f>
        <v>3.5410222371920792</v>
      </c>
      <c r="C28" s="21">
        <f>A28*B28</f>
        <v>113.31271159014653</v>
      </c>
    </row>
  </sheetData>
  <mergeCells count="3">
    <mergeCell ref="A1:K1"/>
    <mergeCell ref="A2:K2"/>
    <mergeCell ref="A22:C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abSelected="1" workbookViewId="0">
      <selection sqref="A1:F1"/>
    </sheetView>
  </sheetViews>
  <sheetFormatPr defaultRowHeight="14.25"/>
  <cols>
    <col min="1" max="1" width="24" customWidth="1"/>
    <col min="2" max="2" width="42" customWidth="1"/>
    <col min="3" max="3" width="36" customWidth="1"/>
    <col min="4" max="4" width="22" customWidth="1"/>
    <col min="5" max="5" width="15" customWidth="1"/>
    <col min="6" max="6" width="35" customWidth="1"/>
  </cols>
  <sheetData>
    <row r="1" spans="1:6" ht="27.95" customHeight="1">
      <c r="A1" s="34" t="s">
        <v>21</v>
      </c>
      <c r="B1" s="34"/>
      <c r="C1" s="34"/>
      <c r="D1" s="34"/>
      <c r="E1" s="34"/>
      <c r="F1" s="34"/>
    </row>
    <row r="2" spans="1:6" ht="30" customHeight="1">
      <c r="A2" s="35" t="s">
        <v>100</v>
      </c>
      <c r="B2" s="35"/>
      <c r="C2" s="35"/>
      <c r="D2" s="35"/>
      <c r="E2" s="35"/>
      <c r="F2" s="35"/>
    </row>
    <row r="4" spans="1:6" ht="20.100000000000001" customHeight="1">
      <c r="A4" s="36" t="s">
        <v>101</v>
      </c>
      <c r="B4" s="36"/>
      <c r="C4" s="36"/>
      <c r="D4" s="36"/>
      <c r="E4" s="36"/>
      <c r="F4" s="36"/>
    </row>
    <row r="5" spans="1:6" ht="15">
      <c r="A5" s="2" t="s">
        <v>23</v>
      </c>
      <c r="B5" s="2" t="s">
        <v>102</v>
      </c>
      <c r="C5" s="2" t="s">
        <v>103</v>
      </c>
      <c r="D5" s="2" t="s">
        <v>104</v>
      </c>
      <c r="E5" s="2" t="s">
        <v>105</v>
      </c>
      <c r="F5" s="2" t="s">
        <v>71</v>
      </c>
    </row>
    <row r="6" spans="1:6" ht="28.5">
      <c r="A6" s="1" t="s">
        <v>79</v>
      </c>
      <c r="B6" s="1" t="s">
        <v>106</v>
      </c>
      <c r="C6" s="1" t="s">
        <v>107</v>
      </c>
      <c r="D6" s="1" t="s">
        <v>8</v>
      </c>
      <c r="E6" s="1" t="s">
        <v>108</v>
      </c>
      <c r="F6" s="1" t="s">
        <v>109</v>
      </c>
    </row>
    <row r="7" spans="1:6">
      <c r="A7" s="1" t="s">
        <v>73</v>
      </c>
      <c r="B7" s="1" t="s">
        <v>110</v>
      </c>
      <c r="C7" s="1" t="s">
        <v>111</v>
      </c>
      <c r="D7" s="1" t="s">
        <v>8</v>
      </c>
      <c r="E7" s="1" t="s">
        <v>108</v>
      </c>
      <c r="F7" s="1"/>
    </row>
    <row r="8" spans="1:6">
      <c r="A8" s="1" t="s">
        <v>76</v>
      </c>
      <c r="B8" s="1" t="s">
        <v>112</v>
      </c>
      <c r="C8" s="1" t="s">
        <v>113</v>
      </c>
      <c r="D8" s="1" t="s">
        <v>8</v>
      </c>
      <c r="E8" s="1" t="s">
        <v>108</v>
      </c>
      <c r="F8" s="1"/>
    </row>
    <row r="9" spans="1:6" ht="28.5">
      <c r="A9" s="1" t="s">
        <v>84</v>
      </c>
      <c r="B9" s="1" t="s">
        <v>114</v>
      </c>
      <c r="C9" s="1" t="s">
        <v>115</v>
      </c>
      <c r="D9" s="1" t="s">
        <v>116</v>
      </c>
      <c r="E9" s="1" t="s">
        <v>29</v>
      </c>
      <c r="F9" s="1"/>
    </row>
    <row r="10" spans="1:6">
      <c r="A10" s="1" t="s">
        <v>85</v>
      </c>
      <c r="B10" s="1" t="s">
        <v>117</v>
      </c>
      <c r="C10" s="1" t="s">
        <v>118</v>
      </c>
      <c r="D10" s="1" t="s">
        <v>116</v>
      </c>
      <c r="E10" s="1" t="s">
        <v>108</v>
      </c>
      <c r="F10" s="1"/>
    </row>
    <row r="11" spans="1:6">
      <c r="A11" s="1" t="s">
        <v>58</v>
      </c>
      <c r="B11" s="1" t="s">
        <v>119</v>
      </c>
      <c r="C11" s="1" t="s">
        <v>120</v>
      </c>
      <c r="D11" s="1" t="s">
        <v>8</v>
      </c>
      <c r="E11" s="1" t="s">
        <v>108</v>
      </c>
      <c r="F11" s="1"/>
    </row>
    <row r="12" spans="1:6">
      <c r="A12" s="1" t="s">
        <v>88</v>
      </c>
      <c r="B12" s="1" t="s">
        <v>121</v>
      </c>
      <c r="C12" s="1" t="s">
        <v>122</v>
      </c>
      <c r="D12" s="1" t="s">
        <v>8</v>
      </c>
      <c r="E12" s="1" t="s">
        <v>108</v>
      </c>
      <c r="F12" s="1"/>
    </row>
    <row r="13" spans="1:6">
      <c r="A13" s="1"/>
      <c r="B13" s="1"/>
      <c r="C13" s="1"/>
      <c r="D13" s="1"/>
      <c r="E13" s="1"/>
      <c r="F13" s="1"/>
    </row>
    <row r="14" spans="1:6" ht="20.100000000000001" customHeight="1">
      <c r="A14" s="37" t="s">
        <v>123</v>
      </c>
      <c r="B14" s="37"/>
      <c r="C14" s="37"/>
      <c r="D14" s="37"/>
      <c r="E14" s="37"/>
      <c r="F14" s="37"/>
    </row>
    <row r="15" spans="1:6" ht="15">
      <c r="A15" s="2" t="s">
        <v>23</v>
      </c>
      <c r="B15" s="2" t="s">
        <v>102</v>
      </c>
      <c r="C15" s="2" t="s">
        <v>5</v>
      </c>
      <c r="D15" s="2" t="s">
        <v>124</v>
      </c>
      <c r="E15" s="2" t="s">
        <v>105</v>
      </c>
      <c r="F15" s="2" t="s">
        <v>125</v>
      </c>
    </row>
    <row r="16" spans="1:6">
      <c r="A16" s="1" t="s">
        <v>126</v>
      </c>
      <c r="B16" s="1" t="s">
        <v>127</v>
      </c>
      <c r="C16" s="1" t="s">
        <v>128</v>
      </c>
      <c r="D16" s="1" t="s">
        <v>129</v>
      </c>
      <c r="E16" s="1" t="s">
        <v>29</v>
      </c>
      <c r="F16" s="1" t="s">
        <v>130</v>
      </c>
    </row>
    <row r="17" spans="1:6">
      <c r="A17" s="1" t="s">
        <v>131</v>
      </c>
      <c r="B17" s="1" t="s">
        <v>132</v>
      </c>
      <c r="C17" s="1" t="s">
        <v>133</v>
      </c>
      <c r="D17" s="1" t="s">
        <v>134</v>
      </c>
      <c r="E17" s="1" t="s">
        <v>29</v>
      </c>
      <c r="F17" s="1" t="s">
        <v>135</v>
      </c>
    </row>
    <row r="18" spans="1:6">
      <c r="A18" s="1" t="s">
        <v>136</v>
      </c>
      <c r="B18" s="1" t="s">
        <v>137</v>
      </c>
      <c r="C18" s="1" t="s">
        <v>138</v>
      </c>
      <c r="D18" s="1" t="s">
        <v>139</v>
      </c>
      <c r="E18" s="1" t="s">
        <v>29</v>
      </c>
      <c r="F18" s="1"/>
    </row>
    <row r="19" spans="1:6">
      <c r="A19" s="1" t="s">
        <v>84</v>
      </c>
      <c r="B19" s="1" t="s">
        <v>140</v>
      </c>
      <c r="C19" s="1" t="s">
        <v>141</v>
      </c>
      <c r="D19" s="1" t="s">
        <v>142</v>
      </c>
      <c r="E19" s="1" t="s">
        <v>29</v>
      </c>
      <c r="F19" s="1"/>
    </row>
    <row r="20" spans="1:6">
      <c r="A20" s="1" t="s">
        <v>86</v>
      </c>
      <c r="B20" s="1" t="s">
        <v>143</v>
      </c>
      <c r="C20" s="1" t="s">
        <v>144</v>
      </c>
      <c r="D20" s="1" t="s">
        <v>145</v>
      </c>
      <c r="E20" s="1" t="s">
        <v>29</v>
      </c>
      <c r="F20" s="1"/>
    </row>
    <row r="21" spans="1:6">
      <c r="A21" s="1" t="s">
        <v>87</v>
      </c>
      <c r="B21" s="1" t="s">
        <v>146</v>
      </c>
      <c r="C21" s="1" t="s">
        <v>147</v>
      </c>
      <c r="D21" s="1" t="s">
        <v>116</v>
      </c>
      <c r="E21" s="1" t="s">
        <v>29</v>
      </c>
      <c r="F21" s="1"/>
    </row>
    <row r="22" spans="1:6">
      <c r="A22" s="1" t="s">
        <v>38</v>
      </c>
      <c r="B22" s="1" t="s">
        <v>148</v>
      </c>
      <c r="C22" s="1" t="s">
        <v>149</v>
      </c>
      <c r="D22" s="1" t="s">
        <v>150</v>
      </c>
      <c r="E22" s="1" t="s">
        <v>29</v>
      </c>
      <c r="F22" s="1"/>
    </row>
    <row r="23" spans="1:6">
      <c r="A23" s="1" t="s">
        <v>39</v>
      </c>
      <c r="B23" s="1" t="s">
        <v>151</v>
      </c>
      <c r="C23" s="1" t="s">
        <v>152</v>
      </c>
      <c r="D23" s="1" t="s">
        <v>116</v>
      </c>
      <c r="E23" s="1" t="s">
        <v>29</v>
      </c>
      <c r="F23" s="1"/>
    </row>
    <row r="24" spans="1:6">
      <c r="A24" s="1" t="s">
        <v>89</v>
      </c>
      <c r="B24" s="1" t="s">
        <v>153</v>
      </c>
      <c r="C24" s="1" t="s">
        <v>154</v>
      </c>
      <c r="D24" s="1" t="s">
        <v>155</v>
      </c>
      <c r="E24" s="1" t="s">
        <v>43</v>
      </c>
      <c r="F24" s="1"/>
    </row>
    <row r="25" spans="1:6">
      <c r="A25" s="1" t="s">
        <v>40</v>
      </c>
      <c r="B25" s="1" t="s">
        <v>156</v>
      </c>
      <c r="C25" s="1" t="s">
        <v>157</v>
      </c>
      <c r="D25" s="1" t="s">
        <v>116</v>
      </c>
      <c r="E25" s="1" t="s">
        <v>41</v>
      </c>
      <c r="F25" s="1"/>
    </row>
    <row r="26" spans="1:6">
      <c r="A26" s="1" t="s">
        <v>90</v>
      </c>
      <c r="B26" s="1" t="s">
        <v>158</v>
      </c>
      <c r="C26" s="1" t="s">
        <v>159</v>
      </c>
      <c r="D26" s="1" t="s">
        <v>160</v>
      </c>
      <c r="E26" s="1" t="s">
        <v>41</v>
      </c>
      <c r="F26" s="1"/>
    </row>
    <row r="28" spans="1:6">
      <c r="A28" s="38" t="s">
        <v>161</v>
      </c>
      <c r="B28" s="38"/>
      <c r="C28" s="38"/>
      <c r="D28" s="38"/>
      <c r="E28" s="38"/>
      <c r="F28" s="38"/>
    </row>
    <row r="29" spans="1:6">
      <c r="A29" s="38"/>
      <c r="B29" s="38"/>
      <c r="C29" s="38"/>
      <c r="D29" s="38"/>
      <c r="E29" s="38"/>
      <c r="F29" s="38"/>
    </row>
    <row r="30" spans="1:6">
      <c r="A30" s="38"/>
      <c r="B30" s="38"/>
      <c r="C30" s="38"/>
      <c r="D30" s="38"/>
      <c r="E30" s="38"/>
      <c r="F30" s="38"/>
    </row>
    <row r="31" spans="1:6">
      <c r="A31" s="38"/>
      <c r="B31" s="38"/>
      <c r="C31" s="38"/>
      <c r="D31" s="38"/>
      <c r="E31" s="38"/>
      <c r="F31" s="38"/>
    </row>
  </sheetData>
  <mergeCells count="5">
    <mergeCell ref="A1:F1"/>
    <mergeCell ref="A2:F2"/>
    <mergeCell ref="A4:F4"/>
    <mergeCell ref="A14:F14"/>
    <mergeCell ref="A28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Guide</vt:lpstr>
      <vt:lpstr>Raw Data</vt:lpstr>
      <vt:lpstr>Assumptions</vt:lpstr>
      <vt:lpstr>Forecast &amp; Valuation</vt:lpstr>
      <vt:lpstr>Dashboard</vt:lpstr>
      <vt:lpstr>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Diaz-Londono</dc:creator>
  <cp:lastModifiedBy>Santiago Diaz-Londono</cp:lastModifiedBy>
  <dcterms:created xsi:type="dcterms:W3CDTF">2026-09-18T21:44:59Z</dcterms:created>
  <dcterms:modified xsi:type="dcterms:W3CDTF">2026-09-26T17:16:18Z</dcterms:modified>
</cp:coreProperties>
</file>